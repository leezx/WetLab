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HOME/Github/WetLab/2.Cloning/RNAi/results/"/>
    </mc:Choice>
  </mc:AlternateContent>
  <xr:revisionPtr revIDLastSave="0" documentId="8_{767FC684-CF92-F041-A29B-D6E201F251E6}" xr6:coauthVersionLast="47" xr6:coauthVersionMax="47" xr10:uidLastSave="{00000000-0000-0000-0000-000000000000}"/>
  <bookViews>
    <workbookView xWindow="4700" yWindow="840" windowWidth="35380" windowHeight="19160" xr2:uid="{D1D120E9-9591-054F-AA4C-5358215F5B3E}"/>
  </bookViews>
  <sheets>
    <sheet name="inducible shRNA" sheetId="1" r:id="rId1"/>
    <sheet name="Sheet1" sheetId="3" r:id="rId2"/>
    <sheet name="shRNA" sheetId="2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L23" i="1"/>
  <c r="L24" i="1"/>
  <c r="L21" i="1"/>
  <c r="J22" i="1"/>
  <c r="J23" i="1"/>
  <c r="J24" i="1"/>
  <c r="J21" i="1"/>
  <c r="I22" i="1"/>
  <c r="I23" i="1"/>
  <c r="I24" i="1"/>
  <c r="I21" i="1"/>
  <c r="F22" i="1" a="1"/>
  <c r="F24" i="1" a="1"/>
  <c r="F23" i="1" a="1"/>
  <c r="F21" i="1" a="1"/>
  <c r="F23" i="1" l="1"/>
  <c r="F24" i="1"/>
  <c r="F22" i="1"/>
  <c r="F2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<sst xmlns="http://schemas.openxmlformats.org/spreadsheetml/2006/main" count="272" uniqueCount="202">
  <si>
    <t>No</t>
  </si>
  <si>
    <t>Gene</t>
  </si>
  <si>
    <t>Target_seq</t>
  </si>
  <si>
    <t>Len</t>
  </si>
  <si>
    <t>TRC ID or GPP intrinsic score</t>
  </si>
  <si>
    <t>pLKO_5`_30bp</t>
  </si>
  <si>
    <t>AGE1/ECOR1</t>
  </si>
  <si>
    <t>sense</t>
  </si>
  <si>
    <t>loop</t>
  </si>
  <si>
    <t>antisense</t>
  </si>
  <si>
    <t>stop</t>
  </si>
  <si>
    <t>pLKO_3`_31bp</t>
  </si>
  <si>
    <t>name</t>
  </si>
  <si>
    <t>oligo</t>
  </si>
  <si>
    <t>bp</t>
  </si>
  <si>
    <t>Clone</t>
  </si>
  <si>
    <t>test</t>
  </si>
  <si>
    <t>CTTTATATATCTTGTGGAAAGGACGAAACA</t>
  </si>
  <si>
    <t>CCGG</t>
  </si>
  <si>
    <t>nnnnnnnnnnnnnnnnnnnnn</t>
  </si>
  <si>
    <t>CTCGAG</t>
  </si>
  <si>
    <t>NNNNNNNNNNNNNNNNNNNNN</t>
  </si>
  <si>
    <t>TTTTT</t>
  </si>
  <si>
    <t>AATTCTCGACCTCGAGACAAATGGCAGTATT</t>
  </si>
  <si>
    <t>CTTTATATATCTTGTGGAAAGGACGAAACACCGGnnnnnnnnnnnnnnnnnnnnnCTCGAGNNNNNNNNNNNNNNNNNNNNNTTTTTAATTCTCGACCTCGAGACAAATGGCAGTATT</t>
  </si>
  <si>
    <t>mSmarcb1</t>
  </si>
  <si>
    <t>GAAGCTAATGACTCCTGAGAT</t>
  </si>
  <si>
    <t>TRCN0000087854/https://www.mdpi.com/2073-4409/11/8/1354#app1-cells-11-01354</t>
  </si>
  <si>
    <t>ATCTCAGGAGTCATTAGCTTC</t>
  </si>
  <si>
    <t>pLKO1_mSmarcb1_1</t>
  </si>
  <si>
    <t>CTTTATATATCTTGTGGAAAGGACGAAACACCGGGAAGCTAATGACTCCTGAGATCTCGAGATCTCAGGAGTCATTAGCTTCTTTTTAATTCTCGACCTCGAGACAAATGGCAGTATT</t>
  </si>
  <si>
    <t>GACAGCATCCTAGAGGATCAA</t>
  </si>
  <si>
    <t>TRCN0000087856</t>
  </si>
  <si>
    <t>TTGATCCTCTAGGATGCTGTC</t>
  </si>
  <si>
    <t>pLKO1_mSmarcb1_2</t>
  </si>
  <si>
    <t>CTTTATATATCTTGTGGAAAGGACGAAACACCGGGACAGCATCCTAGAGGATCAACTCGAGTTGATCCTCTAGGATGCTGTCTTTTTAATTCTCGACCTCGAGACAAATGGCAGTATT</t>
  </si>
  <si>
    <t>CCTTCCTCTGTGGAAAGAGAA</t>
  </si>
  <si>
    <t>TRCN0000087853</t>
  </si>
  <si>
    <t>TTCTCTTTCCACAGAGGAAGG</t>
  </si>
  <si>
    <t>pLKO1_mSmarcb1_3</t>
  </si>
  <si>
    <t>CTTTATATATCTTGTGGAAAGGACGAAACACCGGCCTTCCTCTGTGGAAAGAGAACTCGAGTTCTCTTTCCACAGAGGAAGGTTTTTAATTCTCGACCTCGAGACAAATGGCAGTATT</t>
  </si>
  <si>
    <t>GACATCCATGCTCGACCTCTA</t>
  </si>
  <si>
    <t>TRCN0000319508</t>
  </si>
  <si>
    <t>TAGAGGTCGAGCATGGATGTC</t>
  </si>
  <si>
    <t>pLKO1_mSmarcb1_4</t>
  </si>
  <si>
    <t>CTTTATATATCTTGTGGAAAGGACGAAACACCGGGACATCCATGCTCGACCTCTACTCGAGTAGAGGTCGAGCATGGATGTCTTTTTAATTCTCGACCTCGAGACAAATGGCAGTATT</t>
  </si>
  <si>
    <t>NTC_002</t>
  </si>
  <si>
    <t>CAACAAGATGAAGAGCACCAA</t>
  </si>
  <si>
    <t>SHC002/https://www.sigmaaldrich.com/deepweb/assets/sigmaaldrich/marketing/global/documents/mission-control-vectors-bulletin.pdf</t>
  </si>
  <si>
    <t>TTGGTGCTCTTCATCTTGTTG</t>
  </si>
  <si>
    <t>pLKO1_NTC</t>
  </si>
  <si>
    <t>CTTTATATATCTTGTGGAAAGGACGAAACACCGGCAACAAGATGAAGAGCACCAACTCGAGTTGGTGCTCTTCATCTTGTTGTTTTTAATTCTCGACCTCGAGACAAATGGCAGTATT</t>
  </si>
  <si>
    <t>https://www.sigmaaldrich.com/US/en/semi-configurators/shrna?activeLink=selectClones</t>
  </si>
  <si>
    <t>ACCG+Top</t>
  </si>
  <si>
    <t>BOToligo</t>
  </si>
  <si>
    <t>CGAA+BOT</t>
  </si>
  <si>
    <t>GnnnnnnnnnnnnnnnnnnnnnCTCGAGNNNNNNNNNNNNNNNNNNNNNTTTT</t>
  </si>
  <si>
    <t>ACCGGnnnnnnnnnnnnnnnnnnnnnCTCGAGNNNNNNNNNNNNNNNNNNNNNTTTT</t>
  </si>
  <si>
    <t>AAAANNNNNNNNNNNNNNNNNNNNNCTCGAGNNNNNNNNNNNNNNNNNNNNNC</t>
  </si>
  <si>
    <t>KMT2A_sh2</t>
  </si>
  <si>
    <t>GCACTGTTAAACATTCCACTT</t>
  </si>
  <si>
    <t>TRCN0000005954</t>
  </si>
  <si>
    <t>CDS</t>
  </si>
  <si>
    <t>GGCACTGTTAAACATTCCACTTCTCGAGAAGTGGAATGTTTAACAGTGCTTTT</t>
  </si>
  <si>
    <t>ACCGGGCACTGTTAAACATTCCACTTCTCGAGAAGTGGAATGTTTAACAGTGCTTTT</t>
  </si>
  <si>
    <t>AAAAGCACTGTTAAACATTCCACTTCTCGAGAAGTGGAATGTTTAACAGTGCC</t>
  </si>
  <si>
    <t>CGAAAAAAGCACTGTTAAACATTCCACTTCTCGAGAAGTGGAATGTTTAACAGTGCC</t>
  </si>
  <si>
    <t>KMT2A_sh5</t>
  </si>
  <si>
    <t>GGTGTTGTCGTCGTTGCAAAT</t>
  </si>
  <si>
    <t>https://www.ncbi.nlm.nih.gov/pmc/articles/PMC5609907/</t>
  </si>
  <si>
    <t>GGGTGTTGTCGTCGTTGCAAATCTCGAGATTTGCAACGACGACAACACCTTTT</t>
  </si>
  <si>
    <t>ACCGGGGTGTTGTCGTCGTTGCAAATCTCGAGATTTGCAACGACGACAACACCTTTT</t>
  </si>
  <si>
    <t>AAAAGGTGTTGTCGTCGTTGCAAATCTCGAGATTTGCAACGACGACAACACCC</t>
  </si>
  <si>
    <t>CGAAAAAAGGTGTTGTCGTCGTTGCAAATCTCGAGATTTGCAACGACGACAACACCC</t>
  </si>
  <si>
    <t>SMARCA4_sh1</t>
  </si>
  <si>
    <t>CCATATTTATACAGCAGAGAA</t>
  </si>
  <si>
    <t>TRCN0000015548</t>
  </si>
  <si>
    <t>3'UTR</t>
  </si>
  <si>
    <t>GCCATATTTATACAGCAGAGAACTCGAGTTCTCTGCTGTATAAATATGGTTTT</t>
  </si>
  <si>
    <t>ACCGGCCATATTTATACAGCAGAGAACTCGAGTTCTCTGCTGTATAAATATGGTTTT</t>
  </si>
  <si>
    <t>AAAACCATATTTATACAGCAGAGAACTCGAGTTCTCTGCTGTATAAATATGGC</t>
  </si>
  <si>
    <t>CGAAAAAACCATATTTATACAGCAGAGAACTCGAGTTCTCTGCTGTATAAATATGGC</t>
  </si>
  <si>
    <t>SMARCA4_sh2</t>
  </si>
  <si>
    <t>GGCATAGGCCTTAGCAGTAAC</t>
  </si>
  <si>
    <t>TRCN0000231102 </t>
  </si>
  <si>
    <t>GGGCATAGGCCTTAGCAGTAACCTCGAGGTTACTGCTAAGGCCTATGCCTTTT</t>
  </si>
  <si>
    <t>ACCGGGGCATAGGCCTTAGCAGTAACCTCGAGGTTACTGCTAAGGCCTATGCCTTTT</t>
  </si>
  <si>
    <t>AAAAGGCATAGGCCTTAGCAGTAACCTCGAGGTTACTGCTAAGGCCTATGCCC</t>
  </si>
  <si>
    <t>CGAAAAAAGGCATAGGCCTTAGCAGTAACCTCGAGGTTACTGCTAAGGCCTATGCCC</t>
  </si>
  <si>
    <t>SMARCB1_sh1</t>
  </si>
  <si>
    <t>GAAGTTGATGACGCCTGAGAT</t>
  </si>
  <si>
    <t>TRCN0000039587</t>
  </si>
  <si>
    <t>GGAAGTTGATGACGCCTGAGATCTCGAGATCTCAGGCGTCATCAACTTCTTTT</t>
  </si>
  <si>
    <t>ACCGGGAAGTTGATGACGCCTGAGATCTCGAGATCTCAGGCGTCATCAACTTCTTTT</t>
  </si>
  <si>
    <t>AAAAGAAGTTGATGACGCCTGAGATCTCGAGATCTCAGGCGTCATCAACTTCC</t>
  </si>
  <si>
    <t>CGAAAAAAGAAGTTGATGACGCCTGAGATCTCGAGATCTCAGGCGTCATCAACTTCC</t>
  </si>
  <si>
    <t>SMARCB1_sh4</t>
  </si>
  <si>
    <t>CCACCAGTGTGACCCTGTTAA</t>
  </si>
  <si>
    <t>TRCN0000308015</t>
  </si>
  <si>
    <t>GCCACCAGTGTGACCCTGTTAACTCGAGTTAACAGGGTCACACTGGTGGTTTT</t>
  </si>
  <si>
    <t>ACCGGCCACCAGTGTGACCCTGTTAACTCGAGTTAACAGGGTCACACTGGTGGTTTT</t>
  </si>
  <si>
    <t>AAAACCACCAGTGTGACCCTGTTAACTCGAGTTAACAGGGTCACACTGGTGGC</t>
  </si>
  <si>
    <t>CGAAAAAACCACCAGTGTGACCCTGTTAACTCGAGTTAACAGGGTCACACTGGTGGC</t>
  </si>
  <si>
    <t>https://www.snapgene.com/resources/plasmid-files/?set=viral_expression_and_packaging_vectors&amp;plasmid=pRSITEP-U6Tet-sh-noHTS-EF1-TetRep-2A-Puro</t>
  </si>
  <si>
    <t>Cellecta (inducible shRNA)</t>
  </si>
  <si>
    <t>template</t>
  </si>
  <si>
    <t>JARID2_sh1</t>
  </si>
  <si>
    <t>JARID2_sh2</t>
  </si>
  <si>
    <t>GAAACAGGTTTCTAAGGTAAA</t>
  </si>
  <si>
    <t>TRCN0000107369</t>
  </si>
  <si>
    <t>RC_seq</t>
  </si>
  <si>
    <t>https://www.genscript.com/sms2/rev_comp.html</t>
  </si>
  <si>
    <t>GCCCAACAGCATGGTGTATTT</t>
  </si>
  <si>
    <t>TRCN0000296776</t>
  </si>
  <si>
    <t>AAGTGGAATGTTTAACAGTGC</t>
  </si>
  <si>
    <t>TTTACCTTAGAAACCTGTTTC</t>
  </si>
  <si>
    <t>AAATACACCATGCTGTTGGGC</t>
  </si>
  <si>
    <t>GGAAACAGGTTTCTAAGGTAAACTCGAGTTTACCTTAGAAACCTGTTTCTTTT</t>
  </si>
  <si>
    <t>GGCCCAACAGCATGGTGTATTTCTCGAGAAATACACCATGCTGTTGGGCTTTT</t>
  </si>
  <si>
    <t>ACCGGGAAACAGGTTTCTAAGGTAAACTCGAGTTTACCTTAGAAACCTGTTTCTTTT</t>
  </si>
  <si>
    <t>ACCGGGCCCAACAGCATGGTGTATTTCTCGAGAAATACACCATGCTGTTGGGCTTTT</t>
  </si>
  <si>
    <t>CGAAAAAAGAAACAGGTTTCTAAGGTAAACTCGAGTTTACCTTAGAAACCTGTTTCC</t>
  </si>
  <si>
    <t>CGAAAAAAGCCCAACAGCATGGTGTATTTCTCGAGAAATACACCATGCTGTTGGGCC</t>
  </si>
  <si>
    <t>KO rate</t>
  </si>
  <si>
    <t>https://www.idtdna.com/pages/products/custom-dna-rna/dna-oligos/custom-dna-oligos/sameday-oligos</t>
  </si>
  <si>
    <t>CAACGCCCGTGGTCGATTTAT</t>
  </si>
  <si>
    <t>3UTR</t>
  </si>
  <si>
    <t>JARID2_sh3</t>
  </si>
  <si>
    <t>JARID2_sh4</t>
  </si>
  <si>
    <t>ATAAATCGACCACGGGCGTTG</t>
  </si>
  <si>
    <t>TRCN0000296851</t>
  </si>
  <si>
    <t>5UTR, CDS</t>
  </si>
  <si>
    <t>ACCGGCAACGCCCGTGGTCGATTTATCTCGAGATAAATCGACCACGGGCGTTGTTTT</t>
  </si>
  <si>
    <t>CGAAAAAAnnnnnnnnnnnnnnnnnnnnnCTCGAGNNNNNNNNNNNNNNNNNNNNNC</t>
  </si>
  <si>
    <t>CGAAAAAACAACGCCCGTGGTCGATTTATCTCGAGATAAATCGACCACGGGCGTTGC</t>
  </si>
  <si>
    <t>GCTGCTTACATCACTGAACAA</t>
  </si>
  <si>
    <t>Validated</t>
  </si>
  <si>
    <t>TTGTTCAGTGATGTAAGCAGC</t>
  </si>
  <si>
    <t>TRCN0000107365</t>
  </si>
  <si>
    <t>ACCGGGCTGCTTACATCACTGAACAACTCGAGTTGTTCAGTGATGTAAGCAGCTTTT</t>
  </si>
  <si>
    <t>CGAAAAAAGCTGCTTACATCACTGAACAACTCGAGTTGTTCAGTGATGTAAGCAGCC</t>
  </si>
  <si>
    <t>exon</t>
  </si>
  <si>
    <t>exon5</t>
  </si>
  <si>
    <t>exon6-7</t>
  </si>
  <si>
    <t>2 off targets</t>
  </si>
  <si>
    <t>JARID2 siRNA1</t>
  </si>
  <si>
    <t>JARID2 siRNA2</t>
  </si>
  <si>
    <t>JARID2_sh5</t>
  </si>
  <si>
    <t>JARID2_sh6</t>
  </si>
  <si>
    <t>exon3</t>
  </si>
  <si>
    <t>exon15</t>
  </si>
  <si>
    <t>PMC6356158</t>
  </si>
  <si>
    <t>GGGATTAGGACCAGCATCAG</t>
  </si>
  <si>
    <t>GCCATATAGCTAAGCCATTCT</t>
  </si>
  <si>
    <t>Target_seq (20 bp)</t>
  </si>
  <si>
    <t>CTGATGCTGGTCCTAATCCC</t>
  </si>
  <si>
    <t>AGAATGGCTTAGCTATATGGC</t>
  </si>
  <si>
    <t>ACCGGGGGATTAGGACCAGCATCAGCTCGAGCTGATGCTGGTCCTAATCCCTTTT</t>
  </si>
  <si>
    <t>CGAAAAAAGGGATTAGGACCAGCATCAGCTCGAGCTGATGCTGGTCCTAATCCCC</t>
  </si>
  <si>
    <t>ACCGGGCCATATAGCTAAGCCATTCTCTCGAGAGAATGGCTTAGCTATATGGCTTTT</t>
  </si>
  <si>
    <t>CGAAAAAAGCCATATAGCTAAGCCATTCTCTCGAGAGAATGGCTTAGCTATATGGCC</t>
  </si>
  <si>
    <t>JARID2_sh5_TOP</t>
  </si>
  <si>
    <t>JARID2_sh5_BOT</t>
  </si>
  <si>
    <t>JARID2_sh6_TOP</t>
  </si>
  <si>
    <t>JARID2_sh6_BOT</t>
  </si>
  <si>
    <t>sanger sequencing should be</t>
  </si>
  <si>
    <t>formula</t>
  </si>
  <si>
    <r>
      <t xml:space="preserve">ACCGG </t>
    </r>
    <r>
      <rPr>
        <sz val="12"/>
        <color rgb="FFFF0000"/>
        <rFont val="Calibri (Body)"/>
      </rPr>
      <t>GCACTGTTAAACATTCCACTT</t>
    </r>
    <r>
      <rPr>
        <sz val="12"/>
        <color theme="1"/>
        <rFont val="Calibri"/>
        <family val="2"/>
        <scheme val="minor"/>
      </rPr>
      <t xml:space="preserve"> CTCGAG </t>
    </r>
    <r>
      <rPr>
        <sz val="12"/>
        <color rgb="FFFF0000"/>
        <rFont val="Calibri (Body)"/>
      </rPr>
      <t>AAGTGGAATGTTTAACAGTGC</t>
    </r>
    <r>
      <rPr>
        <sz val="12"/>
        <color theme="1"/>
        <rFont val="Calibri"/>
        <family val="2"/>
        <scheme val="minor"/>
      </rPr>
      <t xml:space="preserve"> TTTT</t>
    </r>
  </si>
  <si>
    <r>
      <t xml:space="preserve">CGAAAAAA </t>
    </r>
    <r>
      <rPr>
        <sz val="12"/>
        <color rgb="FFFF0000"/>
        <rFont val="Calibri (Body)"/>
      </rPr>
      <t>GCACTGTTAAACATTCCACTT</t>
    </r>
    <r>
      <rPr>
        <sz val="12"/>
        <color theme="1"/>
        <rFont val="Calibri"/>
        <family val="2"/>
        <scheme val="minor"/>
      </rPr>
      <t xml:space="preserve"> CTCGAG </t>
    </r>
    <r>
      <rPr>
        <sz val="12"/>
        <color rgb="FFFF0000"/>
        <rFont val="Calibri (Body)"/>
      </rPr>
      <t>AAGTGGAATGTTTAACAGTGC</t>
    </r>
    <r>
      <rPr>
        <sz val="12"/>
        <color theme="1"/>
        <rFont val="Calibri"/>
        <family val="2"/>
        <scheme val="minor"/>
      </rPr>
      <t xml:space="preserve"> C</t>
    </r>
  </si>
  <si>
    <t>GAGAC - TTCGG</t>
  </si>
  <si>
    <t>ACCCTCGGTGGTCGCCGTATCATTAGAATTCTCGAC CTCGAG ACAAATGGCAGTATTCATCCACAATTTT</t>
  </si>
  <si>
    <t>ACCGGGAAACAGGTTTCTAAGGTAAA CTCGAG TTTACCTTAGAAACCTGTTTCTTTT</t>
  </si>
  <si>
    <t>ACCGGGCCCAACAGCATGGTGTATTt CTCGAG AAATACACCATGCTGTTGGGCTTTT [loss a T]</t>
  </si>
  <si>
    <t>ACCGGGCCCAACAGCATGGTGTATTT CTCGAG AAATACACCATGCTGTTGGGCTTTT</t>
  </si>
  <si>
    <t>ACCGGCAACGCCCGTGGTCGATTTAT CTcGAG ATAAATCGACCACGGGCGTTGTTTT [loss a c]</t>
  </si>
  <si>
    <t>ACCGGCAACGCCCGTGGTCGATTTAT CTCGAG ATAAATCGACCACGGGCGTTGTTTT</t>
  </si>
  <si>
    <t>ACCGGGCTGCTTACATCACTGAACAA cTCGAG TTGTTCAGTGATGTAAGCAGCTTTT  [loss a c]</t>
  </si>
  <si>
    <t>ACCGGGCTGCTTACATCACTGAACAA CTCGAG TTGTTCAGTGATGTAAGCAGCTTTT</t>
  </si>
  <si>
    <t>ACCGGGGGATTAGGACCAGCATCAG CTCgAG CTGATGCTGGTCCTAATCCCTTTT [loss a g]</t>
  </si>
  <si>
    <t>ACCGGGGGATTAGGACCAGCATCAG CTCGAG CTGATGCTGGTCCTAATCCCTTTT</t>
  </si>
  <si>
    <t>ACCGGGCCATATAGCTAAGCCATTCT CTCGAg AGAATGGCTTAGCTATATGGCTTTT [loss a g]</t>
  </si>
  <si>
    <t>ACCGGGCCATATAGCTAAGCCATTCT CTCGAG AGAATGGCTTAGCTATATGGCTTTT</t>
  </si>
  <si>
    <t>GAGAC</t>
  </si>
  <si>
    <t>TTCGG</t>
  </si>
  <si>
    <t>GAGAC + oligos + TTCGG</t>
  </si>
  <si>
    <t>Just check ab1</t>
  </si>
  <si>
    <t>https://portals.broadinstitute.org/gpp/public/gene/search</t>
  </si>
  <si>
    <t>NTC</t>
  </si>
  <si>
    <t>AGCACTACATTGACCTGAAAG</t>
  </si>
  <si>
    <t>TTTAAGCCTGAAGAACTGGTT</t>
  </si>
  <si>
    <t>ACACAACAGCAGTCTCCTTCA</t>
  </si>
  <si>
    <t>GAAATCAGCCTATGGTTTAAG</t>
  </si>
  <si>
    <t>hNME2_sh1</t>
  </si>
  <si>
    <t>hNME2_sh2</t>
  </si>
  <si>
    <t>hNME2_sh3</t>
  </si>
  <si>
    <t>hNME2_sh4</t>
  </si>
  <si>
    <t>TRCN0000010108</t>
  </si>
  <si>
    <t>TRCN0000010110</t>
  </si>
  <si>
    <t>TRCN0000234329</t>
  </si>
  <si>
    <t>TRCN0000196307</t>
  </si>
  <si>
    <t>3UTR,CDS</t>
  </si>
  <si>
    <t>https://github.com/LJI-Bioinformatics/Excel-Reverse-Complement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</si>
</sst>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2"/>
      <color theme="1"/>
      <name val="Calibri"/>
      <family val="2"/>
      <scheme val="minor"/>
    </font>
    <font>
      <sz val="11"/>
      <color rgb="FF21212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Helvetica Neue"/>
      <family val="2"/>
    </font>
    <font>
      <b/>
      <sz val="11"/>
      <color rgb="FF000000"/>
      <name val="Helvetica Neue"/>
      <family val="2"/>
    </font>
    <font>
      <b/>
      <sz val="12"/>
      <color rgb="FF000000"/>
      <name val="Helvetica Neue"/>
      <family val="2"/>
    </font>
    <font>
      <sz val="9"/>
      <color rgb="FF000000"/>
      <name val="Times New Roman"/>
      <family val="1"/>
    </font>
    <font>
      <u/>
      <sz val="12"/>
      <color theme="10"/>
      <name val="Calibri"/>
      <family val="2"/>
      <scheme val="minor"/>
    </font>
    <font>
      <sz val="16"/>
      <color rgb="FF212121"/>
      <name val="Calibri"/>
      <family val="2"/>
      <scheme val="minor"/>
    </font>
    <font>
      <sz val="10"/>
      <color rgb="FF21212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4"/>
      <color rgb="FF000000"/>
      <name val="Courier New"/>
      <family val="1"/>
    </font>
    <font>
      <sz val="10"/>
      <color rgb="FF000000"/>
      <name val="Times New Roman"/>
      <family val="1"/>
    </font>
    <font>
      <sz val="15"/>
      <color rgb="FF212121"/>
      <name val="Calibri"/>
      <family val="2"/>
      <scheme val="minor"/>
    </font>
    <font>
      <sz val="8"/>
      <name val="Calibri"/>
      <family val="2"/>
      <scheme val="minor"/>
    </font>
    <font>
      <sz val="10"/>
      <color rgb="FFFF0000"/>
      <name val="Helvetica Neue"/>
      <family val="2"/>
    </font>
    <font>
      <sz val="10"/>
      <color theme="1"/>
      <name val="Helvetica Neue"/>
      <family val="2"/>
    </font>
    <font>
      <sz val="15"/>
      <color rgb="FF7030A0"/>
      <name val="Calibri"/>
      <family val="2"/>
      <scheme val="minor"/>
    </font>
    <font>
      <sz val="12"/>
      <color rgb="FF7030A0"/>
      <name val="Calibri"/>
      <family val="2"/>
      <scheme val="minor"/>
    </font>
    <font>
      <sz val="12"/>
      <color rgb="FFFF0000"/>
      <name val="Calibri (Body)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2"/>
      <color rgb="FF444444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sz val="9"/>
      <color rgb="FF44444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7" fillId="0" borderId="0" xfId="1"/>
    <xf numFmtId="0" fontId="5" fillId="0" borderId="0" xfId="0" applyFont="1"/>
    <xf numFmtId="0" fontId="6" fillId="0" borderId="0" xfId="0" applyFont="1"/>
    <xf numFmtId="0" fontId="8" fillId="0" borderId="0" xfId="0" applyFont="1"/>
    <xf numFmtId="0" fontId="1" fillId="0" borderId="0" xfId="0" applyFont="1"/>
    <xf numFmtId="0" fontId="10" fillId="0" borderId="0" xfId="0" applyFont="1"/>
    <xf numFmtId="0" fontId="9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9" fontId="0" fillId="0" borderId="0" xfId="0" applyNumberFormat="1"/>
    <xf numFmtId="9" fontId="2" fillId="0" borderId="0" xfId="0" applyNumberFormat="1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190500</xdr:colOff>
      <xdr:row>2</xdr:row>
      <xdr:rowOff>139700</xdr:rowOff>
    </xdr:from>
    <xdr:to>
      <xdr:col>11</xdr:col>
      <xdr:colOff>533400</xdr:colOff>
      <xdr:row>7</xdr:row>
      <xdr:rowOff>150802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5021BD-2C0E-2419-E209-304E75E8F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1500" y="546100"/>
          <a:ext cx="7772400" cy="102710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zhixinli/Partners%20HealthCare%20Dropbox/Zhixin%20Li/Downloads/Excel-Reverse-Complement-master/revcom.xlam" TargetMode="External"/><Relationship Id="rId1" Type="http://schemas.openxmlformats.org/officeDocument/2006/relationships/externalLinkPath" Target="/Users/zhixinli/Partners%20HealthCare%20Dropbox/Zhixin%20Li/Downloads/Excel-Reverse-Complement-master/revcom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revcom"/>
    </sheetNames>
    <definedNames>
      <definedName name="revcom"/>
    </defined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igmaaldrich.com/US/en/semi-configurators/shrna?activeLink=selectClones" TargetMode="External"/><Relationship Id="rId7" Type="http://schemas.openxmlformats.org/officeDocument/2006/relationships/hyperlink" Target="https://github.com/LJI-Bioinformatics/Excel-Reverse-Complement" TargetMode="External"/><Relationship Id="rId2" Type="http://schemas.openxmlformats.org/officeDocument/2006/relationships/hyperlink" Target="https://www.snapgene.com/resources/plasmid-files/?set=viral_expression_and_packaging_vectors&amp;plasmid=pRSITEP-U6Tet-sh-noHTS-EF1-TetRep-2A-Puro" TargetMode="External"/><Relationship Id="rId1" Type="http://schemas.openxmlformats.org/officeDocument/2006/relationships/hyperlink" Target="https://www.ncbi.nlm.nih.gov/pmc/articles/PMC5609907/" TargetMode="External"/><Relationship Id="rId6" Type="http://schemas.openxmlformats.org/officeDocument/2006/relationships/hyperlink" Target="https://portals.broadinstitute.org/gpp/public/gene/search" TargetMode="External"/><Relationship Id="rId5" Type="http://schemas.openxmlformats.org/officeDocument/2006/relationships/hyperlink" Target="https://www.idtdna.com/pages/products/custom-dna-rna/dna-oligos/custom-dna-oligos/sameday-oligos" TargetMode="External"/><Relationship Id="rId4" Type="http://schemas.openxmlformats.org/officeDocument/2006/relationships/hyperlink" Target="https://www.genscript.com/sms2/rev_comp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igmaaldrich.com/US/en/semi-configurators/shrna?activeLink=selectClones" TargetMode="External"/><Relationship Id="rId2" Type="http://schemas.openxmlformats.org/officeDocument/2006/relationships/hyperlink" Target="https://www.sigmaaldrich.com/deepweb/assets/sigmaaldrich/marketing/global/documents/mission-control-vectors-bulletin.pdf" TargetMode="External"/><Relationship Id="rId1" Type="http://schemas.openxmlformats.org/officeDocument/2006/relationships/hyperlink" Target="https://www.mdpi.com/2073-4409/11/8/13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36806-D4EC-9842-AD07-BC5B9B5165CF}">
  <dimension ref="A1:Q44"/>
  <sheetViews>
    <sheetView tabSelected="1" workbookViewId="0">
      <selection activeCell="C4" sqref="C4:L7"/>
    </sheetView>
  </sheetViews>
  <sheetFormatPr baseColWidth="10" defaultRowHeight="16" x14ac:dyDescent="0.2"/>
  <cols>
    <col min="1" max="1" width="13.83203125" bestFit="1" customWidth="1"/>
    <col min="3" max="3" width="13.33203125" bestFit="1" customWidth="1"/>
    <col min="4" max="4" width="13.1640625" customWidth="1"/>
    <col min="5" max="6" width="23.6640625" customWidth="1"/>
    <col min="7" max="7" width="23.33203125" customWidth="1"/>
    <col min="8" max="8" width="9" bestFit="1" customWidth="1"/>
    <col min="9" max="9" width="60.83203125" customWidth="1"/>
    <col min="10" max="10" width="73" customWidth="1"/>
    <col min="11" max="11" width="73.83203125" bestFit="1" customWidth="1"/>
    <col min="12" max="12" width="68.5" bestFit="1" customWidth="1"/>
  </cols>
  <sheetData>
    <row r="1" spans="1:13" x14ac:dyDescent="0.2">
      <c r="A1" t="s">
        <v>166</v>
      </c>
      <c r="B1" t="s">
        <v>167</v>
      </c>
    </row>
    <row r="2" spans="1:13" x14ac:dyDescent="0.2">
      <c r="B2" t="s">
        <v>168</v>
      </c>
    </row>
    <row r="4" spans="1:13" x14ac:dyDescent="0.2">
      <c r="C4" t="s">
        <v>123</v>
      </c>
      <c r="D4" s="1" t="s">
        <v>1</v>
      </c>
      <c r="E4" s="1" t="s">
        <v>2</v>
      </c>
      <c r="F4" s="1" t="s">
        <v>110</v>
      </c>
      <c r="G4" s="1" t="s">
        <v>4</v>
      </c>
      <c r="I4" s="1" t="s">
        <v>13</v>
      </c>
      <c r="J4" s="9" t="s">
        <v>53</v>
      </c>
      <c r="K4" s="1" t="s">
        <v>54</v>
      </c>
      <c r="L4" s="9" t="s">
        <v>55</v>
      </c>
    </row>
    <row r="5" spans="1:13" ht="21" x14ac:dyDescent="0.25">
      <c r="D5" s="1" t="s">
        <v>105</v>
      </c>
      <c r="E5" s="7"/>
      <c r="F5" s="7"/>
      <c r="G5" s="7"/>
      <c r="H5" s="7"/>
      <c r="I5" s="1" t="s">
        <v>56</v>
      </c>
      <c r="J5" s="11" t="s">
        <v>57</v>
      </c>
      <c r="K5" s="12" t="s">
        <v>58</v>
      </c>
      <c r="L5" s="11" t="s">
        <v>133</v>
      </c>
      <c r="M5" s="10"/>
    </row>
    <row r="6" spans="1:13" ht="19" x14ac:dyDescent="0.25">
      <c r="D6" s="1" t="s">
        <v>59</v>
      </c>
      <c r="E6" s="1" t="s">
        <v>60</v>
      </c>
      <c r="F6" s="1" t="s">
        <v>114</v>
      </c>
      <c r="G6" s="1" t="s">
        <v>61</v>
      </c>
      <c r="H6" s="1" t="s">
        <v>62</v>
      </c>
      <c r="I6" s="1" t="s">
        <v>63</v>
      </c>
      <c r="J6" s="11" t="s">
        <v>64</v>
      </c>
      <c r="K6" s="12" t="s">
        <v>65</v>
      </c>
      <c r="L6" s="11" t="s">
        <v>66</v>
      </c>
      <c r="M6" s="10"/>
    </row>
    <row r="7" spans="1:13" ht="19" x14ac:dyDescent="0.25">
      <c r="D7" s="1" t="s">
        <v>67</v>
      </c>
      <c r="E7" s="13" t="s">
        <v>68</v>
      </c>
      <c r="F7" s="13"/>
      <c r="G7" s="4" t="s">
        <v>69</v>
      </c>
      <c r="I7" s="1" t="s">
        <v>70</v>
      </c>
      <c r="J7" s="11" t="s">
        <v>71</v>
      </c>
      <c r="K7" s="12" t="s">
        <v>72</v>
      </c>
      <c r="L7" s="11" t="s">
        <v>73</v>
      </c>
    </row>
    <row r="8" spans="1:13" ht="19" x14ac:dyDescent="0.25">
      <c r="D8" s="1" t="s">
        <v>74</v>
      </c>
      <c r="E8" s="1" t="s">
        <v>75</v>
      </c>
      <c r="F8" s="1"/>
      <c r="G8" s="1" t="s">
        <v>76</v>
      </c>
      <c r="H8" s="1" t="s">
        <v>77</v>
      </c>
      <c r="I8" s="1" t="s">
        <v>78</v>
      </c>
      <c r="J8" s="11" t="s">
        <v>79</v>
      </c>
      <c r="K8" s="12" t="s">
        <v>80</v>
      </c>
      <c r="L8" s="11" t="s">
        <v>81</v>
      </c>
      <c r="M8" s="10"/>
    </row>
    <row r="9" spans="1:13" ht="19" x14ac:dyDescent="0.25">
      <c r="D9" s="1" t="s">
        <v>82</v>
      </c>
      <c r="E9" s="1" t="s">
        <v>83</v>
      </c>
      <c r="F9" s="1"/>
      <c r="G9" s="1" t="s">
        <v>84</v>
      </c>
      <c r="H9" s="1" t="s">
        <v>77</v>
      </c>
      <c r="I9" s="1" t="s">
        <v>85</v>
      </c>
      <c r="J9" s="11" t="s">
        <v>86</v>
      </c>
      <c r="K9" s="12" t="s">
        <v>87</v>
      </c>
      <c r="L9" s="11" t="s">
        <v>88</v>
      </c>
      <c r="M9" s="10"/>
    </row>
    <row r="10" spans="1:13" ht="19" x14ac:dyDescent="0.25">
      <c r="D10" s="1" t="s">
        <v>89</v>
      </c>
      <c r="E10" s="1" t="s">
        <v>90</v>
      </c>
      <c r="F10" s="1"/>
      <c r="G10" s="1" t="s">
        <v>91</v>
      </c>
      <c r="H10" s="1" t="s">
        <v>62</v>
      </c>
      <c r="I10" s="1" t="s">
        <v>92</v>
      </c>
      <c r="J10" s="11" t="s">
        <v>93</v>
      </c>
      <c r="K10" s="12" t="s">
        <v>94</v>
      </c>
      <c r="L10" s="11" t="s">
        <v>95</v>
      </c>
      <c r="M10" s="10"/>
    </row>
    <row r="11" spans="1:13" ht="19" x14ac:dyDescent="0.25">
      <c r="D11" s="1" t="s">
        <v>96</v>
      </c>
      <c r="E11" s="1" t="s">
        <v>97</v>
      </c>
      <c r="F11" s="1"/>
      <c r="G11" s="1" t="s">
        <v>98</v>
      </c>
      <c r="H11" s="1" t="s">
        <v>62</v>
      </c>
      <c r="I11" s="1" t="s">
        <v>99</v>
      </c>
      <c r="J11" s="11" t="s">
        <v>100</v>
      </c>
      <c r="K11" s="12" t="s">
        <v>101</v>
      </c>
      <c r="L11" s="11" t="s">
        <v>102</v>
      </c>
      <c r="M11" s="10"/>
    </row>
    <row r="12" spans="1:13" ht="19" x14ac:dyDescent="0.25">
      <c r="D12" s="1"/>
      <c r="E12" s="1"/>
      <c r="F12" s="1"/>
      <c r="G12" s="1"/>
      <c r="H12" s="1"/>
      <c r="I12" s="1"/>
      <c r="J12" s="11"/>
      <c r="K12" s="12"/>
      <c r="L12" s="11"/>
      <c r="M12" s="10"/>
    </row>
    <row r="13" spans="1:13" x14ac:dyDescent="0.2">
      <c r="B13" t="s">
        <v>141</v>
      </c>
      <c r="C13" t="s">
        <v>123</v>
      </c>
      <c r="D13" s="1" t="s">
        <v>1</v>
      </c>
      <c r="E13" s="1" t="s">
        <v>154</v>
      </c>
      <c r="F13" s="1" t="s">
        <v>110</v>
      </c>
      <c r="G13" s="1" t="s">
        <v>4</v>
      </c>
      <c r="I13" s="1" t="s">
        <v>13</v>
      </c>
      <c r="J13" s="9" t="s">
        <v>53</v>
      </c>
      <c r="K13" s="1" t="s">
        <v>54</v>
      </c>
      <c r="L13" s="9" t="s">
        <v>55</v>
      </c>
      <c r="M13" s="10"/>
    </row>
    <row r="14" spans="1:13" ht="19" x14ac:dyDescent="0.25">
      <c r="A14" s="17" t="s">
        <v>136</v>
      </c>
      <c r="B14" t="s">
        <v>143</v>
      </c>
      <c r="C14" s="15">
        <v>0.89</v>
      </c>
      <c r="D14" s="1" t="s">
        <v>106</v>
      </c>
      <c r="E14" s="1" t="s">
        <v>108</v>
      </c>
      <c r="F14" s="1" t="s">
        <v>115</v>
      </c>
      <c r="G14" s="1" t="s">
        <v>109</v>
      </c>
      <c r="H14" s="1" t="s">
        <v>62</v>
      </c>
      <c r="I14" s="1" t="s">
        <v>117</v>
      </c>
      <c r="J14" s="11" t="s">
        <v>119</v>
      </c>
      <c r="K14" s="12"/>
      <c r="L14" s="11" t="s">
        <v>121</v>
      </c>
      <c r="M14" s="10"/>
    </row>
    <row r="15" spans="1:13" x14ac:dyDescent="0.2">
      <c r="A15" s="17" t="s">
        <v>136</v>
      </c>
      <c r="B15" s="18" t="s">
        <v>142</v>
      </c>
      <c r="C15" s="15">
        <v>0.85</v>
      </c>
      <c r="D15" s="1" t="s">
        <v>107</v>
      </c>
      <c r="E15" s="1" t="s">
        <v>112</v>
      </c>
      <c r="F15" s="1" t="s">
        <v>116</v>
      </c>
      <c r="G15" s="1" t="s">
        <v>113</v>
      </c>
      <c r="H15" s="1" t="s">
        <v>131</v>
      </c>
      <c r="I15" s="1" t="s">
        <v>118</v>
      </c>
      <c r="J15" s="11" t="s">
        <v>120</v>
      </c>
      <c r="K15" s="1"/>
      <c r="L15" s="11" t="s">
        <v>122</v>
      </c>
      <c r="M15" s="10"/>
    </row>
    <row r="16" spans="1:13" x14ac:dyDescent="0.2">
      <c r="A16" s="17" t="s">
        <v>136</v>
      </c>
      <c r="B16" s="1" t="s">
        <v>126</v>
      </c>
      <c r="C16" s="16">
        <v>0.55000000000000004</v>
      </c>
      <c r="D16" s="1" t="s">
        <v>127</v>
      </c>
      <c r="E16" s="1" t="s">
        <v>125</v>
      </c>
      <c r="F16" s="1" t="s">
        <v>129</v>
      </c>
      <c r="G16" s="1" t="s">
        <v>130</v>
      </c>
      <c r="H16" s="1" t="s">
        <v>126</v>
      </c>
      <c r="I16" s="1"/>
      <c r="J16" s="1" t="s">
        <v>132</v>
      </c>
      <c r="K16" s="1"/>
      <c r="L16" s="11" t="s">
        <v>134</v>
      </c>
      <c r="M16" s="10"/>
    </row>
    <row r="17" spans="1:17" x14ac:dyDescent="0.2">
      <c r="A17" s="17" t="s">
        <v>144</v>
      </c>
      <c r="C17" s="1"/>
      <c r="D17" s="1" t="s">
        <v>128</v>
      </c>
      <c r="E17" s="1" t="s">
        <v>135</v>
      </c>
      <c r="F17" s="1" t="s">
        <v>137</v>
      </c>
      <c r="G17" s="1" t="s">
        <v>138</v>
      </c>
      <c r="H17" s="1" t="s">
        <v>126</v>
      </c>
      <c r="I17" s="1"/>
      <c r="J17" s="1" t="s">
        <v>139</v>
      </c>
      <c r="K17" s="1"/>
      <c r="L17" s="11" t="s">
        <v>140</v>
      </c>
      <c r="M17" s="10"/>
    </row>
    <row r="18" spans="1:17" x14ac:dyDescent="0.2">
      <c r="A18" s="17" t="s">
        <v>151</v>
      </c>
      <c r="B18" t="s">
        <v>149</v>
      </c>
      <c r="C18" t="s">
        <v>145</v>
      </c>
      <c r="D18" s="1" t="s">
        <v>147</v>
      </c>
      <c r="E18" s="1" t="s">
        <v>152</v>
      </c>
      <c r="F18" s="1" t="s">
        <v>155</v>
      </c>
      <c r="G18" s="1"/>
      <c r="H18" s="1" t="s">
        <v>62</v>
      </c>
      <c r="I18" s="1"/>
      <c r="J18" s="1" t="s">
        <v>157</v>
      </c>
      <c r="K18" s="1"/>
      <c r="L18" s="11" t="s">
        <v>158</v>
      </c>
      <c r="M18" s="10"/>
    </row>
    <row r="19" spans="1:17" x14ac:dyDescent="0.2">
      <c r="A19" s="17" t="s">
        <v>151</v>
      </c>
      <c r="B19" t="s">
        <v>150</v>
      </c>
      <c r="C19" t="s">
        <v>146</v>
      </c>
      <c r="D19" s="1" t="s">
        <v>148</v>
      </c>
      <c r="E19" s="1" t="s">
        <v>153</v>
      </c>
      <c r="F19" s="1" t="s">
        <v>156</v>
      </c>
      <c r="G19" s="1"/>
      <c r="H19" s="1" t="s">
        <v>62</v>
      </c>
      <c r="I19" s="1"/>
      <c r="J19" s="1" t="s">
        <v>159</v>
      </c>
      <c r="K19" s="1"/>
      <c r="L19" s="11" t="s">
        <v>160</v>
      </c>
      <c r="M19" s="10"/>
    </row>
    <row r="20" spans="1:17" ht="21" x14ac:dyDescent="0.25">
      <c r="D20" s="8" t="s">
        <v>187</v>
      </c>
      <c r="E20" s="8" t="s">
        <v>47</v>
      </c>
      <c r="F20" s="7"/>
      <c r="G20" s="7"/>
      <c r="H20" s="7"/>
      <c r="I20" s="7"/>
      <c r="J20" s="7"/>
      <c r="K20" s="7"/>
      <c r="L20" s="7"/>
      <c r="M20" s="10"/>
    </row>
    <row r="21" spans="1:17" s="21" customFormat="1" x14ac:dyDescent="0.2">
      <c r="D21" t="s">
        <v>192</v>
      </c>
      <c r="E21" s="24" t="s">
        <v>188</v>
      </c>
      <c r="F21" s="24" t="str" cm="1">
        <f t="array" ref="F21">[1]!revcom(E21)</f>
        <v>CTTTCAGGTCAATGTAGTGCT</v>
      </c>
      <c r="G21" s="21" t="s">
        <v>196</v>
      </c>
      <c r="H21" t="s">
        <v>62</v>
      </c>
      <c r="I21" s="24" t="str">
        <f>_xlfn.CONCAT("G",E21,"CTCGAG",F21,"TTTT")</f>
        <v>GAGCACTACATTGACCTGAAAGCTCGAGCTTTCAGGTCAATGTAGTGCTTTTT</v>
      </c>
      <c r="J21" s="24" t="str">
        <f>_xlfn.CONCAT("ACCGG",E21,"CTCGAG",F21,"TTTT")</f>
        <v>ACCGGAGCACTACATTGACCTGAAAGCTCGAGCTTTCAGGTCAATGTAGTGCTTTTT</v>
      </c>
      <c r="L21" s="24" t="str">
        <f>_xlfn.CONCAT("CGAAAAAA",E21,"CTCGAG",F21,"C")</f>
        <v>CGAAAAAAAGCACTACATTGACCTGAAAGCTCGAGCTTTCAGGTCAATGTAGTGCTC</v>
      </c>
    </row>
    <row r="22" spans="1:17" s="21" customFormat="1" x14ac:dyDescent="0.2">
      <c r="D22" t="s">
        <v>193</v>
      </c>
      <c r="E22" s="24" t="s">
        <v>189</v>
      </c>
      <c r="F22" s="24" t="str" cm="1">
        <f t="array" ref="F22">[1]!revcom(E22)</f>
        <v>AACCAGTTCTTCAGGCTTAAA</v>
      </c>
      <c r="G22" s="21" t="s">
        <v>197</v>
      </c>
      <c r="H22" t="s">
        <v>62</v>
      </c>
      <c r="I22" s="24" t="str">
        <f t="shared" ref="I22:I24" si="0">_xlfn.CONCAT("G",E22,"CTCGAG",F22,"TTTT")</f>
        <v>GTTTAAGCCTGAAGAACTGGTTCTCGAGAACCAGTTCTTCAGGCTTAAATTTT</v>
      </c>
      <c r="J22" s="24" t="str">
        <f t="shared" ref="J22:J24" si="1">_xlfn.CONCAT("ACCGG",E22,"CTCGAG",F22,"TTTT")</f>
        <v>ACCGGTTTAAGCCTGAAGAACTGGTTCTCGAGAACCAGTTCTTCAGGCTTAAATTTT</v>
      </c>
      <c r="L22" s="24" t="str">
        <f t="shared" ref="L22:L24" si="2">_xlfn.CONCAT("CGAAAAAA",E22,"CTCGAG",F22,"C")</f>
        <v>CGAAAAAATTTAAGCCTGAAGAACTGGTTCTCGAGAACCAGTTCTTCAGGCTTAAAC</v>
      </c>
    </row>
    <row r="23" spans="1:17" s="22" customFormat="1" x14ac:dyDescent="0.2">
      <c r="D23" t="s">
        <v>194</v>
      </c>
      <c r="E23" s="25" t="s">
        <v>190</v>
      </c>
      <c r="F23" s="24" t="str" cm="1">
        <f t="array" ref="F23">[1]!revcom(E23)</f>
        <v>TGAAGGAGACTGCTGTTGTGT</v>
      </c>
      <c r="G23" s="22" t="s">
        <v>198</v>
      </c>
      <c r="H23" t="s">
        <v>126</v>
      </c>
      <c r="I23" s="24" t="str">
        <f t="shared" si="0"/>
        <v>GACACAACAGCAGTCTCCTTCACTCGAGTGAAGGAGACTGCTGTTGTGTTTTT</v>
      </c>
      <c r="J23" s="24" t="str">
        <f t="shared" si="1"/>
        <v>ACCGGACACAACAGCAGTCTCCTTCACTCGAGTGAAGGAGACTGCTGTTGTGTTTTT</v>
      </c>
      <c r="L23" s="24" t="str">
        <f t="shared" si="2"/>
        <v>CGAAAAAAACACAACAGCAGTCTCCTTCACTCGAGTGAAGGAGACTGCTGTTGTGTC</v>
      </c>
    </row>
    <row r="24" spans="1:17" s="23" customFormat="1" x14ac:dyDescent="0.2">
      <c r="D24" t="s">
        <v>195</v>
      </c>
      <c r="E24" s="26" t="s">
        <v>191</v>
      </c>
      <c r="F24" s="24" t="str" cm="1">
        <f t="array" ref="F24">[1]!revcom(E24)</f>
        <v>CTTAAACCATAGGCTGATTTC</v>
      </c>
      <c r="G24" s="23" t="s">
        <v>199</v>
      </c>
      <c r="H24" t="s">
        <v>200</v>
      </c>
      <c r="I24" s="24" t="str">
        <f t="shared" si="0"/>
        <v>GGAAATCAGCCTATGGTTTAAGCTCGAGCTTAAACCATAGGCTGATTTCTTTT</v>
      </c>
      <c r="J24" s="24" t="str">
        <f t="shared" si="1"/>
        <v>ACCGGGAAATCAGCCTATGGTTTAAGCTCGAGCTTAAACCATAGGCTGATTTCTTTT</v>
      </c>
      <c r="L24" s="24" t="str">
        <f t="shared" si="2"/>
        <v>CGAAAAAAGAAATCAGCCTATGGTTTAAGCTCGAGCTTAAACCATAGGCTGATTTCC</v>
      </c>
    </row>
    <row r="25" spans="1:17" ht="21" x14ac:dyDescent="0.25">
      <c r="D25" s="7"/>
      <c r="E25" s="7"/>
      <c r="F25" s="7"/>
      <c r="G25" s="7"/>
      <c r="H25" s="7"/>
      <c r="I25" s="7"/>
      <c r="J25" s="7"/>
      <c r="K25" s="7"/>
      <c r="L25" s="7"/>
      <c r="M25" s="10"/>
    </row>
    <row r="26" spans="1:17" ht="21" x14ac:dyDescent="0.25">
      <c r="D26" s="7"/>
      <c r="E26" s="4" t="s">
        <v>103</v>
      </c>
      <c r="F26" s="4"/>
      <c r="G26" s="7"/>
      <c r="H26" s="7"/>
    </row>
    <row r="27" spans="1:17" ht="21" x14ac:dyDescent="0.25"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</row>
    <row r="28" spans="1:17" ht="21" x14ac:dyDescent="0.25">
      <c r="D28" s="14" t="s">
        <v>104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</row>
    <row r="29" spans="1:17" x14ac:dyDescent="0.2">
      <c r="D29" s="4" t="s">
        <v>186</v>
      </c>
    </row>
    <row r="31" spans="1:17" x14ac:dyDescent="0.2">
      <c r="D31" s="4" t="s">
        <v>52</v>
      </c>
    </row>
    <row r="33" spans="1:7" x14ac:dyDescent="0.2">
      <c r="D33" s="4" t="s">
        <v>111</v>
      </c>
      <c r="G33" s="4" t="s">
        <v>201</v>
      </c>
    </row>
    <row r="35" spans="1:7" x14ac:dyDescent="0.2">
      <c r="D35" s="4" t="s">
        <v>124</v>
      </c>
    </row>
    <row r="38" spans="1:7" x14ac:dyDescent="0.2">
      <c r="A38" s="1" t="s">
        <v>161</v>
      </c>
      <c r="B38" s="1" t="s">
        <v>157</v>
      </c>
    </row>
    <row r="39" spans="1:7" x14ac:dyDescent="0.2">
      <c r="A39" s="1" t="s">
        <v>162</v>
      </c>
      <c r="B39" s="11" t="s">
        <v>158</v>
      </c>
    </row>
    <row r="40" spans="1:7" x14ac:dyDescent="0.2">
      <c r="A40" s="1" t="s">
        <v>163</v>
      </c>
      <c r="B40" s="1" t="s">
        <v>159</v>
      </c>
    </row>
    <row r="41" spans="1:7" x14ac:dyDescent="0.2">
      <c r="A41" s="1" t="s">
        <v>164</v>
      </c>
      <c r="B41" s="11" t="s">
        <v>160</v>
      </c>
    </row>
    <row r="43" spans="1:7" ht="20" x14ac:dyDescent="0.25">
      <c r="A43" s="19" t="s">
        <v>165</v>
      </c>
      <c r="B43" s="20"/>
      <c r="D43" t="s">
        <v>182</v>
      </c>
    </row>
    <row r="44" spans="1:7" x14ac:dyDescent="0.2">
      <c r="A44" s="20"/>
      <c r="B44" s="20" t="s">
        <v>184</v>
      </c>
      <c r="D44" t="s">
        <v>183</v>
      </c>
    </row>
  </sheetData>
  <phoneticPr fontId="15" type="noConversion"/>
  <hyperlinks>
    <hyperlink ref="G7" r:id="rId1" tooltip="https://www.ncbi.nlm.nih.gov/pmc/articles/PMC5609907/" xr:uid="{A4DAE8C0-8B63-8942-9DDB-03A3ABBF9E19}"/>
    <hyperlink ref="E26" r:id="rId2" tooltip="https://www.snapgene.com/resources/plasmid-files/?set=viral_expression_and_packaging_vectors&amp;plasmid=pRSITEP-U6Tet-sh-noHTS-EF1-TetRep-2A-Puro" xr:uid="{8766063D-02A8-D542-9892-D9DE687D9B68}"/>
    <hyperlink ref="D31" r:id="rId3" tooltip="https://www.sigmaaldrich.com/US/en/semi-configurators/shrna?activeLink=selectClones" xr:uid="{857B24C7-BFA9-A241-8EA8-414F1C4BF536}"/>
    <hyperlink ref="D33" r:id="rId4" xr:uid="{00408F77-B7DC-934A-86FC-4985358F2025}"/>
    <hyperlink ref="D35" r:id="rId5" xr:uid="{AF6C26D6-86C3-A248-9331-63AA971E8F01}"/>
    <hyperlink ref="D29" r:id="rId6" xr:uid="{4990AD36-F8AE-5E4C-BACD-DBA1BF16D5E2}"/>
    <hyperlink ref="G33" r:id="rId7" xr:uid="{DE10D390-C042-0144-B620-28F707F1E0F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7FD9D-A092-D342-9308-85E8E1B18F69}">
  <dimension ref="B6:B37"/>
  <sheetViews>
    <sheetView workbookViewId="0">
      <selection activeCell="B38" sqref="B38"/>
    </sheetView>
  </sheetViews>
  <sheetFormatPr baseColWidth="10" defaultRowHeight="16" x14ac:dyDescent="0.2"/>
  <sheetData>
    <row r="6" spans="2:2" x14ac:dyDescent="0.2">
      <c r="B6" s="1" t="s">
        <v>107</v>
      </c>
    </row>
    <row r="10" spans="2:2" x14ac:dyDescent="0.2">
      <c r="B10" s="1" t="s">
        <v>127</v>
      </c>
    </row>
    <row r="13" spans="2:2" x14ac:dyDescent="0.2">
      <c r="B13" t="s">
        <v>64</v>
      </c>
    </row>
    <row r="14" spans="2:2" x14ac:dyDescent="0.2">
      <c r="B14" t="s">
        <v>66</v>
      </c>
    </row>
    <row r="17" spans="2:2" x14ac:dyDescent="0.2">
      <c r="B17" t="s">
        <v>169</v>
      </c>
    </row>
    <row r="19" spans="2:2" x14ac:dyDescent="0.2">
      <c r="B19" t="s">
        <v>170</v>
      </c>
    </row>
    <row r="20" spans="2:2" x14ac:dyDescent="0.2">
      <c r="B20" t="s">
        <v>171</v>
      </c>
    </row>
    <row r="22" spans="2:2" x14ac:dyDescent="0.2">
      <c r="B22" t="s">
        <v>172</v>
      </c>
    </row>
    <row r="23" spans="2:2" x14ac:dyDescent="0.2">
      <c r="B23" t="s">
        <v>173</v>
      </c>
    </row>
    <row r="25" spans="2:2" x14ac:dyDescent="0.2">
      <c r="B25" t="s">
        <v>174</v>
      </c>
    </row>
    <row r="26" spans="2:2" x14ac:dyDescent="0.2">
      <c r="B26" t="s">
        <v>175</v>
      </c>
    </row>
    <row r="28" spans="2:2" x14ac:dyDescent="0.2">
      <c r="B28" t="s">
        <v>176</v>
      </c>
    </row>
    <row r="29" spans="2:2" x14ac:dyDescent="0.2">
      <c r="B29" t="s">
        <v>177</v>
      </c>
    </row>
    <row r="31" spans="2:2" x14ac:dyDescent="0.2">
      <c r="B31" t="s">
        <v>178</v>
      </c>
    </row>
    <row r="32" spans="2:2" x14ac:dyDescent="0.2">
      <c r="B32" t="s">
        <v>179</v>
      </c>
    </row>
    <row r="34" spans="2:2" x14ac:dyDescent="0.2">
      <c r="B34" t="s">
        <v>180</v>
      </c>
    </row>
    <row r="35" spans="2:2" x14ac:dyDescent="0.2">
      <c r="B35" t="s">
        <v>181</v>
      </c>
    </row>
    <row r="37" spans="2:2" x14ac:dyDescent="0.2">
      <c r="B37" t="s">
        <v>185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6666F-BBE0-0B4D-ADF2-FD87ED3969FB}">
  <dimension ref="B2:Q11"/>
  <sheetViews>
    <sheetView workbookViewId="0">
      <selection activeCell="B2" sqref="B2:Q5"/>
    </sheetView>
  </sheetViews>
  <sheetFormatPr baseColWidth="10" defaultRowHeight="16" x14ac:dyDescent="0.2"/>
  <cols>
    <col min="2" max="2" width="4.6640625" customWidth="1"/>
    <col min="3" max="3" width="9.33203125" bestFit="1" customWidth="1"/>
    <col min="4" max="4" width="30.83203125" bestFit="1" customWidth="1"/>
    <col min="5" max="5" width="4.5" customWidth="1"/>
    <col min="6" max="6" width="23.5" customWidth="1"/>
    <col min="7" max="7" width="31.1640625" bestFit="1" customWidth="1"/>
    <col min="8" max="8" width="10.83203125" bestFit="1" customWidth="1"/>
    <col min="9" max="9" width="23" bestFit="1" customWidth="1"/>
    <col min="10" max="10" width="7.33203125" bestFit="1" customWidth="1"/>
    <col min="11" max="11" width="26" bestFit="1" customWidth="1"/>
    <col min="12" max="12" width="5.33203125" bestFit="1" customWidth="1"/>
    <col min="13" max="13" width="32.5" bestFit="1" customWidth="1"/>
    <col min="14" max="14" width="17.1640625" bestFit="1" customWidth="1"/>
    <col min="15" max="15" width="125.1640625" bestFit="1" customWidth="1"/>
    <col min="16" max="16" width="4.1640625" bestFit="1" customWidth="1"/>
    <col min="17" max="17" width="5.5" bestFit="1" customWidth="1"/>
  </cols>
  <sheetData>
    <row r="2" spans="2:17" x14ac:dyDescent="0.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</row>
    <row r="3" spans="2:17" ht="21" x14ac:dyDescent="0.25">
      <c r="B3" s="7"/>
      <c r="C3" s="1" t="s">
        <v>105</v>
      </c>
      <c r="D3" s="7"/>
      <c r="E3" s="1">
        <v>0</v>
      </c>
      <c r="F3" s="7"/>
      <c r="G3" s="1" t="s">
        <v>17</v>
      </c>
      <c r="H3" s="1" t="s">
        <v>18</v>
      </c>
      <c r="I3" s="1" t="s">
        <v>19</v>
      </c>
      <c r="J3" s="1" t="s">
        <v>20</v>
      </c>
      <c r="K3" s="1" t="s">
        <v>21</v>
      </c>
      <c r="L3" s="1" t="s">
        <v>22</v>
      </c>
      <c r="M3" s="1" t="s">
        <v>23</v>
      </c>
      <c r="N3" s="1" t="s">
        <v>16</v>
      </c>
      <c r="O3" s="1" t="s">
        <v>24</v>
      </c>
      <c r="P3" s="1">
        <v>118</v>
      </c>
      <c r="Q3" s="7"/>
    </row>
    <row r="4" spans="2:17" x14ac:dyDescent="0.2">
      <c r="B4" s="1">
        <v>1</v>
      </c>
      <c r="C4" s="1" t="s">
        <v>25</v>
      </c>
      <c r="D4" s="2" t="s">
        <v>26</v>
      </c>
      <c r="E4" s="1">
        <v>21</v>
      </c>
      <c r="F4" s="4" t="s">
        <v>27</v>
      </c>
      <c r="G4" s="1" t="s">
        <v>17</v>
      </c>
      <c r="H4" s="1" t="s">
        <v>18</v>
      </c>
      <c r="I4" s="1" t="s">
        <v>26</v>
      </c>
      <c r="J4" s="1" t="s">
        <v>20</v>
      </c>
      <c r="K4" s="1" t="s">
        <v>28</v>
      </c>
      <c r="L4" s="1" t="s">
        <v>22</v>
      </c>
      <c r="M4" s="1" t="s">
        <v>23</v>
      </c>
      <c r="N4" s="1" t="s">
        <v>29</v>
      </c>
      <c r="O4" s="1" t="s">
        <v>30</v>
      </c>
      <c r="P4" s="1">
        <v>118</v>
      </c>
    </row>
    <row r="5" spans="2:17" x14ac:dyDescent="0.2">
      <c r="B5" s="1">
        <v>2</v>
      </c>
      <c r="C5" s="1" t="s">
        <v>25</v>
      </c>
      <c r="D5" s="2" t="s">
        <v>31</v>
      </c>
      <c r="E5" s="1">
        <v>21</v>
      </c>
      <c r="F5" s="5" t="s">
        <v>32</v>
      </c>
      <c r="G5" s="1" t="s">
        <v>17</v>
      </c>
      <c r="H5" s="1" t="s">
        <v>18</v>
      </c>
      <c r="I5" s="1" t="s">
        <v>31</v>
      </c>
      <c r="J5" s="1" t="s">
        <v>20</v>
      </c>
      <c r="K5" s="1" t="s">
        <v>33</v>
      </c>
      <c r="L5" s="1" t="s">
        <v>22</v>
      </c>
      <c r="M5" s="1" t="s">
        <v>23</v>
      </c>
      <c r="N5" s="1" t="s">
        <v>34</v>
      </c>
      <c r="O5" s="1" t="s">
        <v>35</v>
      </c>
      <c r="P5" s="1">
        <v>118</v>
      </c>
    </row>
    <row r="6" spans="2:17" x14ac:dyDescent="0.2">
      <c r="B6" s="1">
        <v>3</v>
      </c>
      <c r="C6" s="1" t="s">
        <v>25</v>
      </c>
      <c r="D6" s="2" t="s">
        <v>36</v>
      </c>
      <c r="E6" s="1">
        <v>21</v>
      </c>
      <c r="F6" s="5" t="s">
        <v>37</v>
      </c>
      <c r="G6" s="1" t="s">
        <v>17</v>
      </c>
      <c r="H6" s="1" t="s">
        <v>18</v>
      </c>
      <c r="I6" s="1" t="s">
        <v>36</v>
      </c>
      <c r="J6" s="1" t="s">
        <v>20</v>
      </c>
      <c r="K6" s="1" t="s">
        <v>38</v>
      </c>
      <c r="L6" s="1" t="s">
        <v>22</v>
      </c>
      <c r="M6" s="1" t="s">
        <v>23</v>
      </c>
      <c r="N6" s="1" t="s">
        <v>39</v>
      </c>
      <c r="O6" s="1" t="s">
        <v>40</v>
      </c>
      <c r="P6" s="1">
        <v>118</v>
      </c>
    </row>
    <row r="7" spans="2:17" ht="21" x14ac:dyDescent="0.25">
      <c r="B7" s="1">
        <v>4</v>
      </c>
      <c r="C7" s="1" t="s">
        <v>25</v>
      </c>
      <c r="D7" s="2" t="s">
        <v>41</v>
      </c>
      <c r="E7" s="1">
        <v>21</v>
      </c>
      <c r="F7" s="3" t="s">
        <v>42</v>
      </c>
      <c r="G7" s="1" t="s">
        <v>17</v>
      </c>
      <c r="H7" s="1" t="s">
        <v>18</v>
      </c>
      <c r="I7" s="1" t="s">
        <v>41</v>
      </c>
      <c r="J7" s="1" t="s">
        <v>20</v>
      </c>
      <c r="K7" s="1" t="s">
        <v>43</v>
      </c>
      <c r="L7" s="1" t="s">
        <v>22</v>
      </c>
      <c r="M7" s="1" t="s">
        <v>23</v>
      </c>
      <c r="N7" s="1" t="s">
        <v>44</v>
      </c>
      <c r="O7" s="1" t="s">
        <v>45</v>
      </c>
      <c r="P7" s="1">
        <v>118</v>
      </c>
      <c r="Q7" s="7"/>
    </row>
    <row r="8" spans="2:17" ht="21" x14ac:dyDescent="0.25">
      <c r="B8" s="7"/>
      <c r="C8" s="1" t="s">
        <v>46</v>
      </c>
      <c r="D8" s="6" t="s">
        <v>47</v>
      </c>
      <c r="E8" s="2">
        <v>21</v>
      </c>
      <c r="F8" s="4" t="s">
        <v>48</v>
      </c>
      <c r="G8" s="1" t="s">
        <v>17</v>
      </c>
      <c r="H8" s="1" t="s">
        <v>18</v>
      </c>
      <c r="I8" s="1" t="s">
        <v>47</v>
      </c>
      <c r="J8" s="1" t="s">
        <v>20</v>
      </c>
      <c r="K8" s="1" t="s">
        <v>49</v>
      </c>
      <c r="L8" s="1" t="s">
        <v>22</v>
      </c>
      <c r="M8" s="1" t="s">
        <v>23</v>
      </c>
      <c r="N8" s="1" t="s">
        <v>50</v>
      </c>
      <c r="O8" s="1" t="s">
        <v>51</v>
      </c>
      <c r="P8" s="1">
        <v>118</v>
      </c>
      <c r="Q8" s="7"/>
    </row>
    <row r="9" spans="2:17" x14ac:dyDescent="0.2">
      <c r="B9" s="8"/>
    </row>
    <row r="11" spans="2:17" x14ac:dyDescent="0.2">
      <c r="B11" s="4" t="s">
        <v>52</v>
      </c>
    </row>
  </sheetData>
  <hyperlinks>
    <hyperlink ref="F4" r:id="rId1" location="app1-cells-11-01354" display="https://www.mdpi.com/2073-4409/11/8/1354 - app1-cells-11-01354" xr:uid="{C804A6B3-890B-C946-A0CF-B042CB7A7BB0}"/>
    <hyperlink ref="F8" r:id="rId2" display="https://www.sigmaaldrich.com/deepweb/assets/sigmaaldrich/marketing/global/documents/mission-control-vectors-bulletin.pdf" xr:uid="{7FE3CD55-F098-4B42-907F-9D305684D580}"/>
    <hyperlink ref="B11" r:id="rId3" tooltip="https://www.sigmaaldrich.com/US/en/semi-configurators/shrna?activeLink=selectClones" xr:uid="{97DD09FE-EFD6-AF4A-8F12-DC4B233FBC7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inducible shRNA</vt:lpstr>
      <vt:lpstr>Sheet1</vt:lpstr>
      <vt:lpstr>shRNA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Zhixin Li</dc:creator>
  <cp:lastModifiedBy>Li, Zhixin</cp:lastModifiedBy>
  <dcterms:created xsi:type="dcterms:W3CDTF">2023-06-27T20:30:27Z</dcterms:created>
  <dcterms:modified xsi:type="dcterms:W3CDTF">2025-11-03T21:40:04Z</dcterms:modified>
</cp:coreProperties>
</file>